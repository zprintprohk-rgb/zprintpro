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假设与结论" sheetId="1" state="visible" r:id="rId1"/>
    <sheet name="ROAS敏感性矩阵" sheetId="2" state="visible" r:id="rId2"/>
    <sheet name="每$100营收对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x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9"/>
    </font>
    <font>
      <b val="1"/>
    </font>
    <font>
      <color rgb="000000FF"/>
    </font>
    <font>
      <color rgb="00595959"/>
      <sz val="9"/>
    </font>
    <font>
      <color rgb="00000000"/>
    </font>
    <font>
      <b val="1"/>
      <color rgb="00C00000"/>
    </font>
    <font>
      <sz val="10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164" fontId="4" fillId="2" borderId="1" pivotButton="0" quotePrefix="0" xfId="0"/>
    <xf numFmtId="0" fontId="5" fillId="0" borderId="0" pivotButton="0" quotePrefix="0" xfId="0"/>
    <xf numFmtId="165" fontId="4" fillId="2" borderId="1" pivotButton="0" quotePrefix="0" xfId="0"/>
    <xf numFmtId="165" fontId="6" fillId="0" borderId="1" pivotButton="0" quotePrefix="0" xfId="0"/>
    <xf numFmtId="166" fontId="4" fillId="2" borderId="1" pivotButton="0" quotePrefix="0" xfId="0"/>
    <xf numFmtId="165" fontId="7" fillId="3" borderId="1" pivotButton="0" quotePrefix="0" xfId="0"/>
    <xf numFmtId="166" fontId="6" fillId="0" borderId="1" pivotButton="0" quotePrefix="0" xfId="0"/>
    <xf numFmtId="0" fontId="3" fillId="0" borderId="0" pivotButton="0" quotePrefix="0" xfId="0"/>
    <xf numFmtId="0" fontId="8" fillId="0" borderId="0" pivotButton="0" quotePrefix="0" xfId="0"/>
    <xf numFmtId="166" fontId="3" fillId="0" borderId="1" applyAlignment="1" pivotButton="0" quotePrefix="0" xfId="0">
      <alignment horizontal="center"/>
    </xf>
    <xf numFmtId="166" fontId="3" fillId="2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165" fontId="4" fillId="0" borderId="1" pivotButton="0" quotePrefix="0" xfId="0"/>
    <xf numFmtId="165" fontId="7" fillId="0" borderId="1" applyAlignment="1" pivotButton="0" quotePrefix="0" xfId="0">
      <alignment horizontal="center"/>
    </xf>
    <xf numFmtId="165" fontId="7" fillId="2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166" fontId="3" fillId="4" borderId="1" applyAlignment="1" pivotButton="0" quotePrefix="0" xfId="0">
      <alignment horizontal="center"/>
    </xf>
    <xf numFmtId="165" fontId="6" fillId="2" borderId="1" applyAlignment="1" pivotButton="0" quotePrefix="0" xfId="0">
      <alignment horizontal="center"/>
    </xf>
    <xf numFmtId="164" fontId="6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164" fontId="7" fillId="4" borderId="1" applyAlignment="1" pivotButton="0" quotePrefix="0" xfId="0">
      <alignment horizontal="right"/>
    </xf>
    <xf numFmtId="164" fontId="9" fillId="4" borderId="1" applyAlignment="1" pivotButton="0" quotePrefix="0" xfId="0">
      <alignment horizontal="right"/>
    </xf>
    <xf numFmtId="165" fontId="7" fillId="4" borderId="1" applyAlignment="1" pivotButton="0" quotePrefix="0" xfId="0">
      <alignment horizontal="right"/>
    </xf>
    <xf numFmtId="165" fontId="9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54" customWidth="1" min="3" max="3"/>
  </cols>
  <sheetData>
    <row r="1">
      <c r="A1" s="1" t="inlineStr">
        <is>
          <t>ZprintPro 付费 vs 自然流量 利润测算（每 $100 营收口径）</t>
        </is>
      </c>
    </row>
    <row r="2">
      <c r="A2" s="2" t="inlineStr">
        <is>
          <t>蓝色=可调输入（改后需重跑模型）；黑色=计算结果；黄色底=待用真实数据校准</t>
        </is>
      </c>
    </row>
    <row r="4" ht="20" customHeight="1">
      <c r="A4" s="3" t="inlineStr">
        <is>
          <t>项目</t>
        </is>
      </c>
      <c r="B4" s="3" t="inlineStr">
        <is>
          <t>数值</t>
        </is>
      </c>
      <c r="C4" s="3" t="inlineStr">
        <is>
          <t>说明</t>
        </is>
      </c>
    </row>
    <row r="5" ht="20" customHeight="1">
      <c r="A5" s="4" t="inlineStr">
        <is>
          <t>客单价 AOV ($)</t>
        </is>
      </c>
      <c r="B5" s="5" t="n">
        <v>150</v>
      </c>
      <c r="C5" s="6" t="inlineStr">
        <is>
          <t>推演值：C端$30-80/B端$150-500 混合，待真实订单校准</t>
        </is>
      </c>
    </row>
    <row r="6" ht="20" customHeight="1">
      <c r="A6" s="4" t="inlineStr">
        <is>
          <t>毛利率（扣除生产+材料+人工）</t>
        </is>
      </c>
      <c r="B6" s="7" t="n">
        <v>0.5</v>
      </c>
      <c r="C6" s="6" t="inlineStr">
        <is>
          <t>印刷行业典型 40-60%，待真实成本数据校准</t>
        </is>
      </c>
    </row>
    <row r="7" ht="20" customHeight="1">
      <c r="A7" s="4" t="inlineStr">
        <is>
          <t>跨境物流占营收比</t>
        </is>
      </c>
      <c r="B7" s="7" t="n">
        <v>0.1</v>
      </c>
      <c r="C7" s="6" t="inlineStr">
        <is>
          <t>DHL 直送，小单占比更高，待校准</t>
        </is>
      </c>
    </row>
    <row r="8" ht="20" customHeight="1">
      <c r="A8" s="4" t="inlineStr">
        <is>
          <t>支付手续费率（Airwallex）</t>
        </is>
      </c>
      <c r="B8" s="7" t="n">
        <v>0.03</v>
      </c>
      <c r="C8" s="6" t="inlineStr">
        <is>
          <t>约 2.8-3.4%</t>
        </is>
      </c>
    </row>
    <row r="9" ht="20" customHeight="1">
      <c r="A9" s="4" t="inlineStr">
        <is>
          <t>广告前贡献率</t>
        </is>
      </c>
      <c r="B9" s="8" t="n">
        <v>0.37</v>
      </c>
      <c r="C9" s="6">
        <f>毛利率-物流-支付费 = 50%-10%-3%</f>
        <v/>
      </c>
    </row>
    <row r="10" ht="20" customHeight="1">
      <c r="A10" s="4" t="inlineStr">
        <is>
          <t>投放 ROAS</t>
        </is>
      </c>
      <c r="B10" s="9" t="n">
        <v>2.5</v>
      </c>
      <c r="C10" s="6" t="inlineStr">
        <is>
          <t>ROAS=每$1广告费产生的营收</t>
        </is>
      </c>
    </row>
    <row r="11" ht="20" customHeight="1">
      <c r="A11" s="4" t="inlineStr">
        <is>
          <t>广告费占营收比</t>
        </is>
      </c>
      <c r="B11" s="8" t="n">
        <v>0.4</v>
      </c>
      <c r="C11" s="6">
        <f>1/ROAS，ROAS 2.5 即占 40%</f>
        <v/>
      </c>
    </row>
    <row r="12" ht="20" customHeight="1">
      <c r="A12" s="4" t="inlineStr">
        <is>
          <t>付费渠道净利润率</t>
        </is>
      </c>
      <c r="B12" s="10" t="n">
        <v>-0.03000000000000003</v>
      </c>
      <c r="C12" s="6">
        <f>贡献率-广告费占比</f>
        <v/>
      </c>
    </row>
    <row r="13" ht="20" customHeight="1">
      <c r="A13" s="4" t="inlineStr">
        <is>
          <t>盈亏平衡 ROAS</t>
        </is>
      </c>
      <c r="B13" s="11" t="n">
        <v>2.702702702702703</v>
      </c>
      <c r="C13" s="6" t="inlineStr">
        <is>
          <t>ROAS 低于此值=每单亏损</t>
        </is>
      </c>
    </row>
    <row r="14" ht="20" customHeight="1">
      <c r="A14" s="4" t="inlineStr">
        <is>
          <t>自然流量(SEO/GEO)净利润率</t>
        </is>
      </c>
      <c r="B14" s="8" t="n">
        <v>0.37</v>
      </c>
      <c r="C14" s="6" t="inlineStr">
        <is>
          <t>获客成本≈0，贡献率全部落袋</t>
        </is>
      </c>
    </row>
    <row r="15" ht="20" customHeight="1">
      <c r="A15" s="4" t="inlineStr">
        <is>
          <t>利润率差距（自然-付费）</t>
        </is>
      </c>
      <c r="B15" s="8" t="n">
        <v>0.4</v>
      </c>
      <c r="C15" s="6" t="inlineStr">
        <is>
          <t>每 $100 营收的差距</t>
        </is>
      </c>
    </row>
    <row r="16" ht="20" customHeight="1"/>
    <row r="17" ht="20" customHeight="1">
      <c r="A17" s="12" t="inlineStr">
        <is>
          <t>结论</t>
        </is>
      </c>
    </row>
    <row r="18" ht="20" customHeight="1">
      <c r="A18" s="13" t="inlineStr">
        <is>
          <t>① ROAS 2.5 时广告费吃掉营收的 40%，高于广告前贡献率 37% → 每单亏 3%，卖得越多亏得越多。</t>
        </is>
      </c>
    </row>
    <row r="19" ht="20" customHeight="1">
      <c r="A19" s="13" t="inlineStr">
        <is>
          <t>② 盈亏平衡需要 ROAS≥2.7；要赚到 10% 净利润率需要 ROAS≥3.7，印刷电商极少有投放能稳定做到。</t>
        </is>
      </c>
    </row>
    <row r="20" ht="20" customHeight="1">
      <c r="A20" s="13" t="inlineStr">
        <is>
          <t>③ 自然流量（SEO/GEO）同样 $100 营收净赚 $37，利润率 37% vs 付费 -3%，差距 40%。</t>
        </is>
      </c>
    </row>
    <row r="21" ht="20" customHeight="1">
      <c r="A21" s="13" t="inlineStr">
        <is>
          <t>④ SEO/GEO 内容资产可长期复用，边际成本趋零；广告费是每单重复支出的沉没成本。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净利润率敏感性：毛利率 × ROAS（物流 10% + 支付 3% 固定扣除）</t>
        </is>
      </c>
    </row>
    <row r="2">
      <c r="A2" s="2" t="inlineStr">
        <is>
          <t>红色=该组合亏损；黄色列=当前 ROAS 2.5；最右列=该毛利率的盈亏平衡 ROAS</t>
        </is>
      </c>
    </row>
    <row r="4" ht="20" customHeight="1">
      <c r="A4" s="3" t="inlineStr">
        <is>
          <t>毛利率 \ ROAS</t>
        </is>
      </c>
      <c r="B4" s="14" t="n">
        <v>1.5</v>
      </c>
      <c r="C4" s="14" t="n">
        <v>2</v>
      </c>
      <c r="D4" s="15" t="n">
        <v>2.5</v>
      </c>
      <c r="E4" s="14" t="n">
        <v>3</v>
      </c>
      <c r="F4" s="14" t="n">
        <v>3.5</v>
      </c>
      <c r="G4" s="14" t="n">
        <v>4</v>
      </c>
      <c r="H4" s="14" t="n">
        <v>5</v>
      </c>
      <c r="I4" s="16" t="inlineStr">
        <is>
          <t>盈亏平衡ROAS</t>
        </is>
      </c>
    </row>
    <row r="5" ht="20" customHeight="1">
      <c r="A5" s="17" t="n">
        <v>0.4</v>
      </c>
      <c r="B5" s="18" t="n">
        <v>-0.3966666666666666</v>
      </c>
      <c r="C5" s="18" t="n">
        <v>-0.23</v>
      </c>
      <c r="D5" s="19" t="n">
        <v>-0.13</v>
      </c>
      <c r="E5" s="18" t="n">
        <v>-0.0633333333333333</v>
      </c>
      <c r="F5" s="18" t="n">
        <v>-0.01571428571428568</v>
      </c>
      <c r="G5" s="20" t="n">
        <v>0.02000000000000002</v>
      </c>
      <c r="H5" s="20" t="n">
        <v>0.07000000000000001</v>
      </c>
      <c r="I5" s="21" t="n">
        <v>3.703703703703703</v>
      </c>
    </row>
    <row r="6" ht="20" customHeight="1">
      <c r="A6" s="17" t="n">
        <v>0.45</v>
      </c>
      <c r="B6" s="18" t="n">
        <v>-0.3466666666666667</v>
      </c>
      <c r="C6" s="18" t="n">
        <v>-0.18</v>
      </c>
      <c r="D6" s="19" t="n">
        <v>-0.08000000000000007</v>
      </c>
      <c r="E6" s="18" t="n">
        <v>-0.01333333333333336</v>
      </c>
      <c r="F6" s="20" t="n">
        <v>0.03428571428571425</v>
      </c>
      <c r="G6" s="20" t="n">
        <v>0.06999999999999995</v>
      </c>
      <c r="H6" s="20" t="n">
        <v>0.1199999999999999</v>
      </c>
      <c r="I6" s="21" t="n">
        <v>3.125</v>
      </c>
    </row>
    <row r="7" ht="20" customHeight="1">
      <c r="A7" s="17" t="n">
        <v>0.5</v>
      </c>
      <c r="B7" s="18" t="n">
        <v>-0.2966666666666666</v>
      </c>
      <c r="C7" s="18" t="n">
        <v>-0.13</v>
      </c>
      <c r="D7" s="19" t="n">
        <v>-0.03000000000000003</v>
      </c>
      <c r="E7" s="20" t="n">
        <v>0.03666666666666668</v>
      </c>
      <c r="F7" s="20" t="n">
        <v>0.0842857142857143</v>
      </c>
      <c r="G7" s="20" t="n">
        <v>0.12</v>
      </c>
      <c r="H7" s="20" t="n">
        <v>0.17</v>
      </c>
      <c r="I7" s="21" t="n">
        <v>2.702702702702703</v>
      </c>
    </row>
    <row r="8" ht="20" customHeight="1">
      <c r="A8" s="17" t="n">
        <v>0.55</v>
      </c>
      <c r="B8" s="18" t="n">
        <v>-0.2466666666666666</v>
      </c>
      <c r="C8" s="18" t="n">
        <v>-0.07999999999999996</v>
      </c>
      <c r="D8" s="22" t="n">
        <v>0.02000000000000002</v>
      </c>
      <c r="E8" s="20" t="n">
        <v>0.08666666666666673</v>
      </c>
      <c r="F8" s="20" t="n">
        <v>0.1342857142857143</v>
      </c>
      <c r="G8" s="20" t="n">
        <v>0.17</v>
      </c>
      <c r="H8" s="20" t="n">
        <v>0.22</v>
      </c>
      <c r="I8" s="21" t="n">
        <v>2.380952380952381</v>
      </c>
    </row>
    <row r="9" ht="20" customHeight="1">
      <c r="A9" s="17" t="n">
        <v>0.6</v>
      </c>
      <c r="B9" s="18" t="n">
        <v>-0.1966666666666667</v>
      </c>
      <c r="C9" s="18" t="n">
        <v>-0.03000000000000003</v>
      </c>
      <c r="D9" s="22" t="n">
        <v>0.06999999999999995</v>
      </c>
      <c r="E9" s="20" t="n">
        <v>0.1366666666666667</v>
      </c>
      <c r="F9" s="20" t="n">
        <v>0.1842857142857143</v>
      </c>
      <c r="G9" s="20" t="n">
        <v>0.22</v>
      </c>
      <c r="H9" s="20" t="n">
        <v>0.27</v>
      </c>
      <c r="I9" s="21" t="n">
        <v>2.127659574468085</v>
      </c>
    </row>
    <row r="10" ht="20" customHeight="1"/>
    <row r="11" ht="20" customHeight="1">
      <c r="A11" s="6" t="inlineStr">
        <is>
          <t>注：矩阵值&lt;0 表示该 毛利率×ROAS 组合每单亏损；毛利率需先扣物流+支付才是广告前贡献率。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1" t="inlineStr">
        <is>
          <t>同样 $100 营收：付费渠道(ROAS 2.5) vs 自然流量(SEO/GEO)</t>
        </is>
      </c>
    </row>
    <row r="3" ht="20" customHeight="1">
      <c r="A3" s="3" t="inlineStr">
        <is>
          <t>项目</t>
        </is>
      </c>
      <c r="B3" s="3" t="inlineStr">
        <is>
          <t>付费渠道</t>
        </is>
      </c>
      <c r="C3" s="3" t="inlineStr">
        <is>
          <t>自然流量</t>
        </is>
      </c>
    </row>
    <row r="4" ht="20" customHeight="1">
      <c r="A4" s="4" t="inlineStr">
        <is>
          <t>营收</t>
        </is>
      </c>
      <c r="B4" s="23" t="n">
        <v>100</v>
      </c>
      <c r="C4" s="23" t="n">
        <v>100</v>
      </c>
    </row>
    <row r="5" ht="20" customHeight="1">
      <c r="A5" s="4" t="inlineStr">
        <is>
          <t>生产成本（按毛利率）</t>
        </is>
      </c>
      <c r="B5" s="24" t="n">
        <v>-50</v>
      </c>
      <c r="C5" s="24" t="n">
        <v>-50</v>
      </c>
    </row>
    <row r="6" ht="20" customHeight="1">
      <c r="A6" s="4" t="inlineStr">
        <is>
          <t>跨境物流</t>
        </is>
      </c>
      <c r="B6" s="24" t="n">
        <v>-10</v>
      </c>
      <c r="C6" s="24" t="n">
        <v>-10</v>
      </c>
    </row>
    <row r="7" ht="20" customHeight="1">
      <c r="A7" s="4" t="inlineStr">
        <is>
          <t>支付手续费</t>
        </is>
      </c>
      <c r="B7" s="24" t="n">
        <v>-3</v>
      </c>
      <c r="C7" s="24" t="n">
        <v>-3</v>
      </c>
    </row>
    <row r="8" ht="20" customHeight="1">
      <c r="A8" s="4" t="inlineStr">
        <is>
          <t>广告费（1/ROAS）</t>
        </is>
      </c>
      <c r="B8" s="24" t="n">
        <v>-40</v>
      </c>
      <c r="C8" s="23" t="n">
        <v>0</v>
      </c>
    </row>
    <row r="9" ht="20" customHeight="1">
      <c r="A9" s="4" t="inlineStr">
        <is>
          <t>净利润</t>
        </is>
      </c>
      <c r="B9" s="25" t="n">
        <v>-3</v>
      </c>
      <c r="C9" s="26" t="n">
        <v>37</v>
      </c>
    </row>
    <row r="10" ht="20" customHeight="1">
      <c r="A10" s="4" t="inlineStr">
        <is>
          <t>净利润率</t>
        </is>
      </c>
      <c r="B10" s="27" t="n">
        <v>-0.03</v>
      </c>
      <c r="C10" s="28" t="n">
        <v>0.37</v>
      </c>
    </row>
    <row r="11" ht="20" customHeight="1"/>
    <row r="12" ht="20" customHeight="1">
      <c r="A12" s="13" t="inlineStr">
        <is>
          <t>解读：付费渠道每 $100 营收倒亏约 $3（ROAS 2.5 未达盈亏平衡 2.7）；自然流量净赚约 $37。</t>
        </is>
      </c>
    </row>
    <row r="13" ht="20" customHeight="1">
      <c r="A13" s="13" t="inlineStr">
        <is>
          <t>差距约 40%——同样的订单，走自然流量是利润，走付费投放是亏损。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2026-08-10T03:18:15Z</dcterms:created>
  <dcterms:modified xsi:type="dcterms:W3CDTF">2026-08-10T03:18:15Z</dcterms:modified>
</cp:coreProperties>
</file>